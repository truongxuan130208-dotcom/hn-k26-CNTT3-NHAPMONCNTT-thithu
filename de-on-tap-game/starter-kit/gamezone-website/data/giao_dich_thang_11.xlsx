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60"/>
  </bookViews>
  <sheets>
    <sheet name="GiaoDich" sheetId="1" r:id="rId1"/>
    <sheet name="VatPham" sheetId="2" r:id="rId2"/>
  </sheets>
  <definedNames>
    <definedName name="_xlnm._FilterDatabase" localSheetId="0" hidden="1">GiaoDich!$A$1:$F$16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<sst xmlns="http://schemas.openxmlformats.org/spreadsheetml/2006/main" count="51" uniqueCount="34">
  <si>
    <t>ma_gd</t>
  </si>
  <si>
    <t>ma_vp</t>
  </si>
  <si>
    <t>sl_mua</t>
  </si>
  <si>
    <t xml:space="preserve">ten_vp </t>
  </si>
  <si>
    <t>gia_xu</t>
  </si>
  <si>
    <t>thanh_tien</t>
  </si>
  <si>
    <t>GD001</t>
  </si>
  <si>
    <t>VP05</t>
  </si>
  <si>
    <t>GD002</t>
  </si>
  <si>
    <t>VP06</t>
  </si>
  <si>
    <t>GD003</t>
  </si>
  <si>
    <t>VP04</t>
  </si>
  <si>
    <t>GD004</t>
  </si>
  <si>
    <t>GD005</t>
  </si>
  <si>
    <t>VP03</t>
  </si>
  <si>
    <t>GD006</t>
  </si>
  <si>
    <t>GD007</t>
  </si>
  <si>
    <t>GD008</t>
  </si>
  <si>
    <t>VP02</t>
  </si>
  <si>
    <t>GD009</t>
  </si>
  <si>
    <t>GD010</t>
  </si>
  <si>
    <t>GD011</t>
  </si>
  <si>
    <t>GD012</t>
  </si>
  <si>
    <t>GD013</t>
  </si>
  <si>
    <t>VP01</t>
  </si>
  <si>
    <t>GD014</t>
  </si>
  <si>
    <t>GD015</t>
  </si>
  <si>
    <t>ten_vp</t>
  </si>
  <si>
    <t>Kiem Rong</t>
  </si>
  <si>
    <t>Khien Bang</t>
  </si>
  <si>
    <t>Binh May</t>
  </si>
  <si>
    <t>Giay Toc Do</t>
  </si>
  <si>
    <t>Ao Giap Vang</t>
  </si>
  <si>
    <t>Nhan Ma Thuat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</si>
</sst>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2">
    <font>
      <sz val="11"/>
      <color theme="1"/>
      <name val="Calibri"/>
      <charset val="134"/>
      <scheme val="minor"/>
    </font>
    <font>
      <sz val="11"/>
      <color theme="1"/>
      <name val="Consolas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49">
    <cellStyle name="Chung" xfId="0" builtinId="0"/>
    <cellStyle name="Dấu phân cách hàng nghìn" xfId="1" builtinId="3"/>
    <cellStyle name="Tiền tệ" xfId="2" builtinId="4"/>
    <cellStyle name="Phần trăm" xfId="3" builtinId="5"/>
    <cellStyle name="Dấu phân cách hàng nghìn [0]" xfId="4" builtinId="6"/>
    <cellStyle name="Tiền tệ[0]" xfId="5" builtinId="7"/>
    <cellStyle name="Siêu liên kết" xfId="6" builtinId="8"/>
    <cellStyle name="Siêu liên kết đã truy cập" xfId="7" builtinId="9"/>
    <cellStyle name="Chú thích" xfId="8" builtinId="10"/>
    <cellStyle name="Văn bản cảnh báo" xfId="9" builtinId="11"/>
    <cellStyle name="Tiêu đề" xfId="10" builtinId="15"/>
    <cellStyle name="Văn bản giải thích" xfId="11" builtinId="53"/>
    <cellStyle name="Tiêu đề 1" xfId="12" builtinId="16"/>
    <cellStyle name="Tiêu đề 2" xfId="13" builtinId="17"/>
    <cellStyle name="Tiêu đề 3" xfId="14" builtinId="18"/>
    <cellStyle name="Tiêu đề 4" xfId="15" builtinId="19"/>
    <cellStyle name="Nhập" xfId="16" builtinId="20"/>
    <cellStyle name="Xuất" xfId="17" builtinId="21"/>
    <cellStyle name="Tính toán" xfId="18" builtinId="22"/>
    <cellStyle name="Kiểm tra ô" xfId="19" builtinId="23"/>
    <cellStyle name="Ô được liên kết" xfId="20" builtinId="24"/>
    <cellStyle name="Tổng hợp" xfId="21" builtinId="25"/>
    <cellStyle name="Đồng ý" xfId="22" builtinId="26"/>
    <cellStyle name="Kém" xfId="23" builtinId="27"/>
    <cellStyle name="Trung bình" xfId="24" builtinId="28"/>
    <cellStyle name="Màu nhấn 1" xfId="25" builtinId="29"/>
    <cellStyle name="20% - Màu nhấn 1" xfId="26" builtinId="30"/>
    <cellStyle name="40% - Màu nhấn 1" xfId="27" builtinId="31"/>
    <cellStyle name="60% - Màu nhấn 1" xfId="28" builtinId="32"/>
    <cellStyle name="Màu nhấn 2" xfId="29" builtinId="33"/>
    <cellStyle name="20% - Màu nhấn 2" xfId="30" builtinId="34"/>
    <cellStyle name="40% - Màu nhấn 2" xfId="31" builtinId="35"/>
    <cellStyle name="60% - Màu nhấn 2" xfId="32" builtinId="36"/>
    <cellStyle name="Màu nhấn 3" xfId="33" builtinId="37"/>
    <cellStyle name="20% - Màu nhấn 3" xfId="34" builtinId="38"/>
    <cellStyle name="40% - Màu nhấn 3" xfId="35" builtinId="39"/>
    <cellStyle name="60% - Màu nhấn 3" xfId="36" builtinId="40"/>
    <cellStyle name="Màu nhấn 4" xfId="37" builtinId="41"/>
    <cellStyle name="20% - Màu nhấn 4" xfId="38" builtinId="42"/>
    <cellStyle name="40% - Màu nhấn 4" xfId="39" builtinId="43"/>
    <cellStyle name="60% - Màu nhấn 4" xfId="40" builtinId="44"/>
    <cellStyle name="Màu nhấn 5" xfId="41" builtinId="45"/>
    <cellStyle name="20% - Màu nhấn 5" xfId="42" builtinId="46"/>
    <cellStyle name="40% - Màu nhấn 5" xfId="43" builtinId="47"/>
    <cellStyle name="60% - Màu nhấn 5" xfId="44" builtinId="48"/>
    <cellStyle name="Màu nhấn 6" xfId="45" builtinId="49"/>
    <cellStyle name="20% - Màu nhấn 6" xfId="46" builtinId="50"/>
    <cellStyle name="40% - Màu nhấn 6" xfId="47" builtinId="51"/>
    <cellStyle name="60% - Màu nhấn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F16"/>
  <sheetViews>
    <sheetView tabSelected="1" workbookViewId="0">
      <selection activeCell="M7" sqref="M7"/>
    </sheetView>
  </sheetViews>
  <sheetFormatPr defaultColWidth="9" defaultRowHeight="14.4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</row>
    <row r="2" ht="28.8" hidden="1" spans="1:6">
      <c r="A2" t="s">
        <v>6</v>
      </c>
      <c r="B2" t="s">
        <v>7</v>
      </c>
      <c r="C2">
        <v>1</v>
      </c>
      <c r="D2" s="2" t="str">
        <f>VLOOKUP(GiaoDich!B2,VatPham!$A$1:$C$7,2,FALSE)</f>
        <v>Ao Giap Vang</v>
      </c>
      <c r="E2">
        <f>VLOOKUP(GiaoDich!B2,VatPham!$A$1:$C$7,3,FALSE)</f>
        <v>250000</v>
      </c>
      <c r="F2">
        <f>E2*C2</f>
        <v>250000</v>
      </c>
    </row>
    <row r="3" ht="28.8" hidden="1" spans="1:6">
      <c r="A3" t="s">
        <v>8</v>
      </c>
      <c r="B3" t="s">
        <v>9</v>
      </c>
      <c r="C3">
        <v>1</v>
      </c>
      <c r="D3" s="2" t="str">
        <f>VLOOKUP(GiaoDich!B3,VatPham!$A$1:$C$7,2,FALSE)</f>
        <v>Nhan Ma Thuat</v>
      </c>
      <c r="E3">
        <f>VLOOKUP(GiaoDich!B3,VatPham!$A$1:$C$7,3,FALSE)</f>
        <v>99000</v>
      </c>
      <c r="F3">
        <f t="shared" ref="F3:F16" si="0">E3*C3</f>
        <v>99000</v>
      </c>
    </row>
    <row r="4" ht="28.8" spans="1:6">
      <c r="A4" t="s">
        <v>10</v>
      </c>
      <c r="B4" t="s">
        <v>11</v>
      </c>
      <c r="C4">
        <v>5</v>
      </c>
      <c r="D4" s="2" t="str">
        <f>VLOOKUP(GiaoDich!B4,VatPham!$A$1:$C$7,2,FALSE)</f>
        <v>Giay Toc Do</v>
      </c>
      <c r="E4">
        <f>VLOOKUP(GiaoDich!B4,VatPham!$A$1:$C$7,3,FALSE)</f>
        <v>150000</v>
      </c>
      <c r="F4">
        <f t="shared" si="0"/>
        <v>750000</v>
      </c>
    </row>
    <row r="5" ht="28.8" spans="1:6">
      <c r="A5" t="s">
        <v>12</v>
      </c>
      <c r="B5" t="s">
        <v>9</v>
      </c>
      <c r="C5">
        <v>5</v>
      </c>
      <c r="D5" s="2" t="str">
        <f>VLOOKUP(GiaoDich!B5,VatPham!$A$1:$C$7,2,FALSE)</f>
        <v>Nhan Ma Thuat</v>
      </c>
      <c r="E5">
        <f>VLOOKUP(GiaoDich!B5,VatPham!$A$1:$C$7,3,FALSE)</f>
        <v>99000</v>
      </c>
      <c r="F5">
        <f t="shared" si="0"/>
        <v>495000</v>
      </c>
    </row>
    <row r="6" hidden="1" spans="1:6">
      <c r="A6" t="s">
        <v>13</v>
      </c>
      <c r="B6" t="s">
        <v>14</v>
      </c>
      <c r="C6">
        <v>3</v>
      </c>
      <c r="D6" s="2" t="str">
        <f>VLOOKUP(GiaoDich!B6,VatPham!$A$1:$C$7,2,FALSE)</f>
        <v>Binh May</v>
      </c>
      <c r="E6">
        <f>VLOOKUP(GiaoDich!B6,VatPham!$A$1:$C$7,3,FALSE)</f>
        <v>20000</v>
      </c>
      <c r="F6">
        <f t="shared" si="0"/>
        <v>60000</v>
      </c>
    </row>
    <row r="7" ht="28.8" spans="1:6">
      <c r="A7" t="s">
        <v>15</v>
      </c>
      <c r="B7" t="s">
        <v>9</v>
      </c>
      <c r="C7">
        <v>4</v>
      </c>
      <c r="D7" s="2" t="str">
        <f>VLOOKUP(GiaoDich!B7,VatPham!$A$1:$C$7,2,FALSE)</f>
        <v>Nhan Ma Thuat</v>
      </c>
      <c r="E7">
        <f>VLOOKUP(GiaoDich!B7,VatPham!$A$1:$C$7,3,FALSE)</f>
        <v>99000</v>
      </c>
      <c r="F7">
        <f t="shared" si="0"/>
        <v>396000</v>
      </c>
    </row>
    <row r="8" ht="28.8" spans="1:6">
      <c r="A8" t="s">
        <v>16</v>
      </c>
      <c r="B8" t="s">
        <v>11</v>
      </c>
      <c r="C8">
        <v>6</v>
      </c>
      <c r="D8" s="2" t="str">
        <f>VLOOKUP(GiaoDich!B8,VatPham!$A$1:$C$7,2,FALSE)</f>
        <v>Giay Toc Do</v>
      </c>
      <c r="E8">
        <f>VLOOKUP(GiaoDich!B8,VatPham!$A$1:$C$7,3,FALSE)</f>
        <v>150000</v>
      </c>
      <c r="F8">
        <f t="shared" si="0"/>
        <v>900000</v>
      </c>
    </row>
    <row r="9" ht="28.8" hidden="1" spans="1:6">
      <c r="A9" t="s">
        <v>17</v>
      </c>
      <c r="B9" t="s">
        <v>18</v>
      </c>
      <c r="C9">
        <v>1</v>
      </c>
      <c r="D9" s="2" t="str">
        <f>VLOOKUP(GiaoDich!B9,VatPham!$A$1:$C$7,2,FALSE)</f>
        <v>Khien Bang</v>
      </c>
      <c r="E9">
        <f>VLOOKUP(GiaoDich!B9,VatPham!$A$1:$C$7,3,FALSE)</f>
        <v>85000</v>
      </c>
      <c r="F9">
        <f t="shared" si="0"/>
        <v>85000</v>
      </c>
    </row>
    <row r="10" hidden="1" spans="1:6">
      <c r="A10" t="s">
        <v>19</v>
      </c>
      <c r="B10" t="s">
        <v>14</v>
      </c>
      <c r="C10">
        <v>2</v>
      </c>
      <c r="D10" s="2" t="str">
        <f>VLOOKUP(GiaoDich!B10,VatPham!$A$1:$C$7,2,FALSE)</f>
        <v>Binh May</v>
      </c>
      <c r="E10">
        <f>VLOOKUP(GiaoDich!B10,VatPham!$A$1:$C$7,3,FALSE)</f>
        <v>20000</v>
      </c>
      <c r="F10">
        <f t="shared" si="0"/>
        <v>40000</v>
      </c>
    </row>
    <row r="11" ht="28.8" spans="1:6">
      <c r="A11" t="s">
        <v>20</v>
      </c>
      <c r="B11" t="s">
        <v>7</v>
      </c>
      <c r="C11">
        <v>4</v>
      </c>
      <c r="D11" s="2" t="str">
        <f>VLOOKUP(GiaoDich!B11,VatPham!$A$1:$C$7,2,FALSE)</f>
        <v>Ao Giap Vang</v>
      </c>
      <c r="E11">
        <f>VLOOKUP(GiaoDich!B11,VatPham!$A$1:$C$7,3,FALSE)</f>
        <v>250000</v>
      </c>
      <c r="F11">
        <f t="shared" si="0"/>
        <v>1000000</v>
      </c>
    </row>
    <row r="12" ht="28.8" spans="1:6">
      <c r="A12" t="s">
        <v>21</v>
      </c>
      <c r="B12" t="s">
        <v>11</v>
      </c>
      <c r="C12">
        <v>5</v>
      </c>
      <c r="D12" s="2" t="str">
        <f>VLOOKUP(GiaoDich!B12,VatPham!$A$1:$C$7,2,FALSE)</f>
        <v>Giay Toc Do</v>
      </c>
      <c r="E12">
        <f>VLOOKUP(GiaoDich!B12,VatPham!$A$1:$C$7,3,FALSE)</f>
        <v>150000</v>
      </c>
      <c r="F12">
        <f t="shared" si="0"/>
        <v>750000</v>
      </c>
    </row>
    <row r="13" ht="28.8" spans="1:6">
      <c r="A13" t="s">
        <v>22</v>
      </c>
      <c r="B13" t="s">
        <v>7</v>
      </c>
      <c r="C13">
        <v>2</v>
      </c>
      <c r="D13" s="2" t="str">
        <f>VLOOKUP(GiaoDich!B13,VatPham!$A$1:$C$7,2,FALSE)</f>
        <v>Ao Giap Vang</v>
      </c>
      <c r="E13">
        <f>VLOOKUP(GiaoDich!B13,VatPham!$A$1:$C$7,3,FALSE)</f>
        <v>250000</v>
      </c>
      <c r="F13">
        <f t="shared" si="0"/>
        <v>500000</v>
      </c>
    </row>
    <row r="14" ht="28.8" hidden="1" spans="1:6">
      <c r="A14" t="s">
        <v>23</v>
      </c>
      <c r="B14" t="s">
        <v>24</v>
      </c>
      <c r="C14">
        <v>1</v>
      </c>
      <c r="D14" s="2" t="str">
        <f>VLOOKUP(GiaoDich!B14,VatPham!$A$1:$C$7,2,FALSE)</f>
        <v>Kiem Rong</v>
      </c>
      <c r="E14">
        <f>VLOOKUP(GiaoDich!B14,VatPham!$A$1:$C$7,3,FALSE)</f>
        <v>120000</v>
      </c>
      <c r="F14">
        <f t="shared" si="0"/>
        <v>120000</v>
      </c>
    </row>
    <row r="15" ht="28.8" hidden="1" spans="1:6">
      <c r="A15" t="s">
        <v>25</v>
      </c>
      <c r="B15" t="s">
        <v>24</v>
      </c>
      <c r="C15">
        <v>2</v>
      </c>
      <c r="D15" s="2" t="str">
        <f>VLOOKUP(GiaoDich!B15,VatPham!$A$1:$C$7,2,FALSE)</f>
        <v>Kiem Rong</v>
      </c>
      <c r="E15">
        <f>VLOOKUP(GiaoDich!B15,VatPham!$A$1:$C$7,3,FALSE)</f>
        <v>120000</v>
      </c>
      <c r="F15">
        <f t="shared" si="0"/>
        <v>240000</v>
      </c>
    </row>
    <row r="16" ht="28.8" spans="1:6">
      <c r="A16" t="s">
        <v>26</v>
      </c>
      <c r="B16" t="s">
        <v>7</v>
      </c>
      <c r="C16">
        <v>5</v>
      </c>
      <c r="D16" s="2" t="str">
        <f>VLOOKUP(GiaoDich!B16,VatPham!$A$1:$C$7,2,FALSE)</f>
        <v>Ao Giap Vang</v>
      </c>
      <c r="E16">
        <f>VLOOKUP(GiaoDich!B16,VatPham!$A$1:$C$7,3,FALSE)</f>
        <v>250000</v>
      </c>
      <c r="F16">
        <f t="shared" si="0"/>
        <v>1250000</v>
      </c>
    </row>
  </sheetData>
  <autoFilter xmlns:etc="http://www.wps.cn/officeDocument/2017/etCustomData" ref="A1:F16" etc:filterBottomFollowUsedRange="0">
    <filterColumn colId="5">
      <customFilters>
        <customFilter operator="greaterThanOrEqual" val="300000"/>
      </customFilters>
    </filterColumn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workbookViewId="0">
      <selection activeCell="B2" sqref="B1:B7"/>
    </sheetView>
  </sheetViews>
  <sheetFormatPr defaultColWidth="9" defaultRowHeight="14.4" outlineLevelRow="6" outlineLevelCol="2"/>
  <sheetData>
    <row r="1" spans="1:3">
      <c r="A1" t="s">
        <v>1</v>
      </c>
      <c r="B1" t="s">
        <v>27</v>
      </c>
      <c r="C1" t="s">
        <v>4</v>
      </c>
    </row>
    <row r="2" spans="1:3">
      <c r="A2" t="s">
        <v>24</v>
      </c>
      <c r="B2" t="s">
        <v>28</v>
      </c>
      <c r="C2">
        <v>120000</v>
      </c>
    </row>
    <row r="3" spans="1:3">
      <c r="A3" t="s">
        <v>18</v>
      </c>
      <c r="B3" t="s">
        <v>29</v>
      </c>
      <c r="C3">
        <v>85000</v>
      </c>
    </row>
    <row r="4" spans="1:3">
      <c r="A4" t="s">
        <v>14</v>
      </c>
      <c r="B4" t="s">
        <v>30</v>
      </c>
      <c r="C4">
        <v>20000</v>
      </c>
    </row>
    <row r="5" spans="1:3">
      <c r="A5" t="s">
        <v>11</v>
      </c>
      <c r="B5" t="s">
        <v>31</v>
      </c>
      <c r="C5">
        <v>150000</v>
      </c>
    </row>
    <row r="6" spans="1:3">
      <c r="A6" t="s">
        <v>7</v>
      </c>
      <c r="B6" t="s">
        <v>32</v>
      </c>
      <c r="C6">
        <v>250000</v>
      </c>
    </row>
    <row r="7" spans="1:3">
      <c r="A7" t="s">
        <v>9</v>
      </c>
      <c r="B7" t="s">
        <v>33</v>
      </c>
      <c r="C7">
        <v>99000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GiaoDich</vt:lpstr>
      <vt:lpstr>VatPham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Truong Pham Xuan</cp:lastModifiedBy>
  <dcterms:created xsi:type="dcterms:W3CDTF">2026-10-26T03:25:00Z</dcterms:created>
  <dcterms:modified xsi:type="dcterms:W3CDTF">2026-10-26T08:30:20Z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8606AD4566A344DCA99AC563F3784068_12</vt:lpwstr>
  </property>
  <property fmtid="{D5CDD505-2E9C-101B-9397-08002B2CF9AE}" pid="3" name="KSOProductBuildVer">
    <vt:lpwstr>1066-12.1.0.29162</vt:lpwstr>
  </property>
  <property fmtid="{D5CDD505-2E9C-101B-9397-08002B2CF9AE}" pid="4" name="CalculationRule">
    <vt:i4>0</vt:i4>
  </property>
</Properties>
</file>